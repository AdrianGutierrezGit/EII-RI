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ria\Desktop\RI\practica\JPA\UO300627\"/>
    </mc:Choice>
  </mc:AlternateContent>
  <xr:revisionPtr revIDLastSave="0" documentId="8_{25A6BE18-B3D9-4E1A-8A28-AFF54197E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7" r:id="rId1"/>
    <sheet name="nota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8" l="1"/>
  <c r="D7" i="18"/>
  <c r="D8" i="18"/>
  <c r="D9" i="18"/>
  <c r="D10" i="18"/>
  <c r="D11" i="18"/>
  <c r="D12" i="18"/>
  <c r="D13" i="18"/>
  <c r="D14" i="18"/>
  <c r="D15" i="18"/>
  <c r="D6" i="18"/>
  <c r="H4" i="18" l="1"/>
  <c r="D4" i="18"/>
</calcChain>
</file>

<file path=xl/sharedStrings.xml><?xml version="1.0" encoding="utf-8"?>
<sst xmlns="http://schemas.openxmlformats.org/spreadsheetml/2006/main" count="167" uniqueCount="101">
  <si>
    <t>Las interfaces de la capa de servicio no han sido modificadas</t>
  </si>
  <si>
    <t>Los test originales se ejecutan correctamente</t>
  </si>
  <si>
    <t>Ampliaciones</t>
  </si>
  <si>
    <t>Documentación</t>
  </si>
  <si>
    <t>Sin fichero readme.txt</t>
  </si>
  <si>
    <t>Código</t>
  </si>
  <si>
    <t>Con warnings</t>
  </si>
  <si>
    <t>No se siguen recomendaciones JCC ni las de legibilidad del código</t>
  </si>
  <si>
    <t>Mal nombres de clases (plurales, tablas)</t>
  </si>
  <si>
    <t>Código mal sangrado</t>
  </si>
  <si>
    <t>Métodos no vacíos con comentarios //TODO</t>
  </si>
  <si>
    <t>Algunos bugs menores</t>
  </si>
  <si>
    <t>catch Exception</t>
  </si>
  <si>
    <t>Arquitectura</t>
  </si>
  <si>
    <t>Código de negocio fuera de la capa de negocio</t>
  </si>
  <si>
    <t>Código de persistencia fuera de la capa de persistencia</t>
  </si>
  <si>
    <t>Fachada de servicios con lógica, fuera de lugar</t>
  </si>
  <si>
    <t>Fachada no utiliza CommandExecutor para ejecutar Command</t>
  </si>
  <si>
    <t>Negocio</t>
  </si>
  <si>
    <t xml:space="preserve">Los command no utilizan la factoría de persistencia para obtener los repositorios </t>
  </si>
  <si>
    <t>Algún comando no se ajusta al Javadoc de la interfaz</t>
  </si>
  <si>
    <t>catch NoResultException en comando</t>
  </si>
  <si>
    <t>Persistencia</t>
  </si>
  <si>
    <t>Métodos de repositorio con lógica de negocio</t>
  </si>
  <si>
    <t>Lógica de negocio embebida en consultas JPQL</t>
  </si>
  <si>
    <t>Mal uso de getSingleResult()</t>
  </si>
  <si>
    <t>Métodos repositorio lanzan explícitamente excepciones</t>
  </si>
  <si>
    <t xml:space="preserve">Insuficientes consultas </t>
  </si>
  <si>
    <t>Demasiadas consultas</t>
  </si>
  <si>
    <t>Queries sobre nombres de tablas en vez de clases</t>
  </si>
  <si>
    <t>Consultas incoherentes</t>
  </si>
  <si>
    <t>Presentación</t>
  </si>
  <si>
    <t>Hay lógica de negocio en las classes Action</t>
  </si>
  <si>
    <t>catch BusinessException en Action</t>
  </si>
  <si>
    <t>catch PersistenceException o Exception en Action</t>
  </si>
  <si>
    <t>Modelo de dominio</t>
  </si>
  <si>
    <t>Asociaciones mal establecidas en constructores de clases asociativas</t>
  </si>
  <si>
    <t>Clases modelo imprimen en consola</t>
  </si>
  <si>
    <t>Se lanza excepción impropia (o mal gestionada)</t>
  </si>
  <si>
    <t>Constructores no se encadenan</t>
  </si>
  <si>
    <t>Setters para atributos de identidad</t>
  </si>
  <si>
    <r>
      <rPr>
        <i/>
        <sz val="10"/>
        <color rgb="FF000000"/>
        <rFont val="Arial"/>
        <family val="2"/>
      </rPr>
      <t>hashcode()</t>
    </r>
    <r>
      <rPr>
        <sz val="10"/>
        <color rgb="FF000000"/>
        <rFont val="Arial"/>
        <family val="2"/>
      </rPr>
      <t xml:space="preserve">, </t>
    </r>
    <r>
      <rPr>
        <i/>
        <sz val="10"/>
        <color rgb="FF000000"/>
        <rFont val="Arial"/>
        <family val="2"/>
      </rPr>
      <t>equals()</t>
    </r>
    <r>
      <rPr>
        <sz val="10"/>
        <color rgb="FF000000"/>
        <rFont val="Arial"/>
        <family val="2"/>
      </rPr>
      <t xml:space="preserve"> mal redefinidos</t>
    </r>
  </si>
  <si>
    <t>Entidades no extienden BaseEntity</t>
  </si>
  <si>
    <r>
      <t xml:space="preserve">Código de </t>
    </r>
    <r>
      <rPr>
        <i/>
        <sz val="10"/>
        <rFont val="Arial"/>
        <family val="2"/>
      </rPr>
      <t>link()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unlink()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_get*()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_set*()</t>
    </r>
    <r>
      <rPr>
        <sz val="10"/>
        <rFont val="Arial"/>
        <family val="2"/>
      </rPr>
      <t xml:space="preserve"> incorrecto</t>
    </r>
  </si>
  <si>
    <t>Commands invocados desde el dominio</t>
  </si>
  <si>
    <t>Repositorios invocados desde el modelo de dominio</t>
  </si>
  <si>
    <t>Mapeador</t>
  </si>
  <si>
    <t>Clases con defectos de mapeo</t>
  </si>
  <si>
    <r>
      <rPr>
        <i/>
        <sz val="10"/>
        <rFont val="Arial"/>
        <family val="2"/>
      </rPr>
      <t>persistence.xml</t>
    </r>
    <r>
      <rPr>
        <sz val="10"/>
        <rFont val="Arial"/>
        <family val="2"/>
      </rPr>
      <t xml:space="preserve"> mal configurado</t>
    </r>
  </si>
  <si>
    <t>Ejecución</t>
  </si>
  <si>
    <t>Revienta con excepciones por acciones del usuario</t>
  </si>
  <si>
    <t>Precondiciones</t>
  </si>
  <si>
    <t>Los tests son los originales publicados en el campus virtual y compilan</t>
  </si>
  <si>
    <t>Todas las ampliaciones que corresponden por UO han sido implementadas</t>
  </si>
  <si>
    <t>Añadir tests de persistencia y asociaciones a las clases de la extensión</t>
  </si>
  <si>
    <t>Añadir tests unitarios al comando de generación de nóminas o terminación de contrato</t>
  </si>
  <si>
    <t>Hacer clientes en modo GUI (cws_client_manager)</t>
  </si>
  <si>
    <t>catch NullPointerException u otra no chequeada</t>
  </si>
  <si>
    <t xml:space="preserve">Código de presentación fuera de la capa UI </t>
  </si>
  <si>
    <t>Comando(s) con lógica que debería estar en el modelo de dominio</t>
  </si>
  <si>
    <t>Comando imprime en consola (x debug)</t>
  </si>
  <si>
    <t>Consultas JPQL complicadas (Theta-Style, a la SQL, etc.)</t>
  </si>
  <si>
    <t>Lógica mal implementada (no detectada por tests)</t>
  </si>
  <si>
    <t>Hay getters públicos para atributos naturales o colecciones que devuelven mutables</t>
  </si>
  <si>
    <t>Constructores por defecto públicos</t>
  </si>
  <si>
    <r>
      <t xml:space="preserve">No arranca, </t>
    </r>
    <r>
      <rPr>
        <i/>
        <sz val="10"/>
        <rFont val="Arial"/>
        <family val="2"/>
      </rPr>
      <t>orm.xml</t>
    </r>
    <r>
      <rPr>
        <sz val="10"/>
        <rFont val="Arial"/>
        <family val="2"/>
      </rPr>
      <t xml:space="preserve"> con errores en queries o en mapeo</t>
    </r>
  </si>
  <si>
    <t>Invalidante</t>
  </si>
  <si>
    <r>
      <t xml:space="preserve">Pasar todas las anotaciones @ Jpa al </t>
    </r>
    <r>
      <rPr>
        <i/>
        <sz val="10"/>
        <rFont val="Arial"/>
        <family val="2"/>
      </rPr>
      <t>orm.xml</t>
    </r>
  </si>
  <si>
    <t>Métodos muy largos, demasiado complejos o ininteligibles</t>
  </si>
  <si>
    <t>Consultas no externalizadas al orm.xml</t>
  </si>
  <si>
    <t>Líneas de código demasiado largas (max 80 columnas)</t>
  </si>
  <si>
    <t>Existen dependencias entre capas indebidas para la arquitectura hexagonal</t>
  </si>
  <si>
    <t>catch BusinessException en comando</t>
  </si>
  <si>
    <t>Mala gestión de transacciones y/o contexto de persistencia</t>
  </si>
  <si>
    <t>La capa presentación no utiliza la factoría de service para obtener las fachadas</t>
  </si>
  <si>
    <t>La ejecución desde los clientes da resultados incorrectos</t>
  </si>
  <si>
    <t>preconditions</t>
  </si>
  <si>
    <t>extensions</t>
  </si>
  <si>
    <t>documentation</t>
  </si>
  <si>
    <t>code</t>
  </si>
  <si>
    <t>arquitecture</t>
  </si>
  <si>
    <t>business</t>
  </si>
  <si>
    <t>persistence</t>
  </si>
  <si>
    <t>presentation</t>
  </si>
  <si>
    <t>domain</t>
  </si>
  <si>
    <t>mapper</t>
  </si>
  <si>
    <t>execution</t>
  </si>
  <si>
    <t>Starting mark</t>
  </si>
  <si>
    <t>Preconditions</t>
  </si>
  <si>
    <t>Tentative mark</t>
  </si>
  <si>
    <t>Penalties</t>
  </si>
  <si>
    <t>Extensions</t>
  </si>
  <si>
    <t>Documentation</t>
  </si>
  <si>
    <t>Code</t>
  </si>
  <si>
    <t>Arquitecture</t>
  </si>
  <si>
    <t>Business</t>
  </si>
  <si>
    <t>Persistence</t>
  </si>
  <si>
    <t>Presentation</t>
  </si>
  <si>
    <t>Domain</t>
  </si>
  <si>
    <t>Mapper</t>
  </si>
  <si>
    <t>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</si>
</sst>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\+0.00;\-0.00;0.00"/>
  </numFmts>
  <fonts count="8" x14ac:knownFonts="1"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3" xfId="0" applyBorder="1"/>
    <xf numFmtId="0" fontId="1" fillId="0" borderId="1" xfId="0" applyFont="1" applyBorder="1"/>
    <xf numFmtId="0" fontId="1" fillId="0" borderId="7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0" fillId="0" borderId="17" xfId="0" applyBorder="1"/>
    <xf numFmtId="0" fontId="0" fillId="0" borderId="9" xfId="0" applyBorder="1"/>
    <xf numFmtId="0" fontId="2" fillId="3" borderId="15" xfId="0" applyFont="1" applyFill="1" applyBorder="1"/>
    <xf numFmtId="0" fontId="0" fillId="3" borderId="10" xfId="0" applyFill="1" applyBorder="1"/>
    <xf numFmtId="0" fontId="2" fillId="2" borderId="18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21" xfId="0" applyFont="1" applyFill="1" applyBorder="1"/>
    <xf numFmtId="0" fontId="2" fillId="4" borderId="22" xfId="0" applyFont="1" applyFill="1" applyBorder="1"/>
    <xf numFmtId="0" fontId="4" fillId="0" borderId="8" xfId="0" applyFont="1" applyBorder="1"/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4" fillId="0" borderId="0" xfId="0" applyFont="1"/>
    <xf numFmtId="0" fontId="6" fillId="0" borderId="0" xfId="0" applyFont="1"/>
    <xf numFmtId="0" fontId="0" fillId="0" borderId="0" xfId="0" quotePrefix="1" applyAlignment="1">
      <alignment wrapText="1"/>
    </xf>
    <xf numFmtId="0" fontId="0" fillId="0" borderId="10" xfId="0" quotePrefix="1" applyBorder="1"/>
    <xf numFmtId="0" fontId="2" fillId="3" borderId="14" xfId="0" applyFont="1" applyFill="1" applyBorder="1"/>
    <xf numFmtId="164" fontId="0" fillId="0" borderId="23" xfId="1" applyNumberFormat="1" applyFont="1" applyBorder="1"/>
    <xf numFmtId="164" fontId="0" fillId="0" borderId="8" xfId="1" applyNumberFormat="1" applyFont="1" applyBorder="1"/>
    <xf numFmtId="164" fontId="0" fillId="0" borderId="10" xfId="1" applyNumberFormat="1" applyFont="1" applyBorder="1"/>
    <xf numFmtId="0" fontId="2" fillId="2" borderId="24" xfId="0" applyFont="1" applyFill="1" applyBorder="1"/>
    <xf numFmtId="0" fontId="2" fillId="3" borderId="8" xfId="0" applyFont="1" applyFill="1" applyBorder="1"/>
    <xf numFmtId="0" fontId="1" fillId="0" borderId="0" xfId="0" applyFont="1" applyAlignment="1">
      <alignment horizontal="center" vertical="center" textRotation="90"/>
    </xf>
    <xf numFmtId="0" fontId="1" fillId="0" borderId="0" xfId="0" applyFont="1"/>
  </cellXfs>
  <cellStyles count="2">
    <cellStyle name="Millares" xfId="1" builtinId="3"/>
    <cellStyle name="Normal" xfId="0" builtinId="0"/>
  </cellStyles>
  <dxfs count="4">
    <dxf>
      <font>
        <b/>
        <color rgb="FFFF0000"/>
      </font>
    </dxf>
    <dxf>
      <font>
        <b/>
        <color theme="6" tint="-0.499984740745262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6"/>
  <sheetViews>
    <sheetView tabSelected="1" topLeftCell="A34" zoomScale="130" zoomScaleNormal="130" workbookViewId="0">
      <selection activeCell="F41" sqref="F41"/>
    </sheetView>
  </sheetViews>
  <sheetFormatPr baseColWidth="10" defaultColWidth="11.44140625" defaultRowHeight="13.2" x14ac:dyDescent="0.25"/>
  <cols>
    <col min="3" max="3" width="6.109375" customWidth="1"/>
    <col min="4" max="4" width="74.33203125" bestFit="1" customWidth="1"/>
    <col min="5" max="5" width="6" customWidth="1"/>
    <col min="6" max="6" width="50.6640625" bestFit="1" customWidth="1"/>
    <col min="7" max="7" width="54.6640625" bestFit="1" customWidth="1"/>
  </cols>
  <sheetData>
    <row r="2" spans="2:7" x14ac:dyDescent="0.25">
      <c r="C2" s="2"/>
      <c r="D2" s="3" t="s">
        <v>51</v>
      </c>
    </row>
    <row r="3" spans="2:7" ht="12.75" customHeight="1" x14ac:dyDescent="0.25">
      <c r="B3" t="s">
        <v>76</v>
      </c>
      <c r="C3" s="2"/>
      <c r="D3" s="7" t="s">
        <v>53</v>
      </c>
      <c r="E3" s="28">
        <v>1</v>
      </c>
      <c r="F3" t="s">
        <v>66</v>
      </c>
    </row>
    <row r="4" spans="2:7" x14ac:dyDescent="0.25">
      <c r="B4" t="s">
        <v>76</v>
      </c>
      <c r="C4" s="2"/>
      <c r="D4" s="8" t="s">
        <v>0</v>
      </c>
      <c r="E4" s="27">
        <v>1</v>
      </c>
      <c r="F4" t="s">
        <v>66</v>
      </c>
    </row>
    <row r="5" spans="2:7" x14ac:dyDescent="0.25">
      <c r="B5" t="s">
        <v>76</v>
      </c>
      <c r="C5" s="2"/>
      <c r="D5" s="8" t="s">
        <v>52</v>
      </c>
      <c r="E5" s="29">
        <v>1</v>
      </c>
      <c r="F5" t="s">
        <v>66</v>
      </c>
    </row>
    <row r="6" spans="2:7" x14ac:dyDescent="0.25">
      <c r="B6" t="s">
        <v>76</v>
      </c>
      <c r="C6" s="2"/>
      <c r="D6" s="9" t="s">
        <v>1</v>
      </c>
      <c r="E6" s="30">
        <v>1</v>
      </c>
      <c r="F6" t="s">
        <v>66</v>
      </c>
    </row>
    <row r="8" spans="2:7" x14ac:dyDescent="0.25">
      <c r="D8" s="3" t="s">
        <v>2</v>
      </c>
    </row>
    <row r="9" spans="2:7" x14ac:dyDescent="0.25">
      <c r="B9" t="s">
        <v>77</v>
      </c>
      <c r="C9" s="39">
        <v>0.5</v>
      </c>
      <c r="D9" s="31" t="s">
        <v>54</v>
      </c>
      <c r="E9" s="38"/>
    </row>
    <row r="10" spans="2:7" x14ac:dyDescent="0.25">
      <c r="B10" t="s">
        <v>77</v>
      </c>
      <c r="C10" s="40">
        <v>1</v>
      </c>
      <c r="D10" s="31" t="s">
        <v>55</v>
      </c>
      <c r="E10" s="24"/>
    </row>
    <row r="11" spans="2:7" x14ac:dyDescent="0.25">
      <c r="B11" t="s">
        <v>77</v>
      </c>
      <c r="C11" s="40">
        <v>0.25</v>
      </c>
      <c r="D11" s="8" t="s">
        <v>67</v>
      </c>
      <c r="E11" s="24">
        <v>1</v>
      </c>
      <c r="G11" s="36"/>
    </row>
    <row r="12" spans="2:7" x14ac:dyDescent="0.25">
      <c r="B12" t="s">
        <v>77</v>
      </c>
      <c r="C12" s="40">
        <v>2</v>
      </c>
      <c r="D12" s="8" t="s">
        <v>56</v>
      </c>
      <c r="E12" s="43">
        <v>1</v>
      </c>
      <c r="G12" s="36"/>
    </row>
    <row r="13" spans="2:7" x14ac:dyDescent="0.25">
      <c r="B13" t="s">
        <v>77</v>
      </c>
      <c r="C13" s="41"/>
      <c r="D13" s="37"/>
      <c r="E13" s="25"/>
    </row>
    <row r="14" spans="2:7" x14ac:dyDescent="0.25">
      <c r="C14" s="2"/>
    </row>
    <row r="15" spans="2:7" x14ac:dyDescent="0.25">
      <c r="D15" s="12" t="s">
        <v>3</v>
      </c>
    </row>
    <row r="16" spans="2:7" x14ac:dyDescent="0.25">
      <c r="B16" t="s">
        <v>78</v>
      </c>
      <c r="C16" s="6">
        <v>-1</v>
      </c>
      <c r="D16" s="13" t="s">
        <v>4</v>
      </c>
      <c r="E16" s="19"/>
    </row>
    <row r="17" spans="2:5" x14ac:dyDescent="0.25">
      <c r="B17" t="s">
        <v>78</v>
      </c>
      <c r="C17" s="5"/>
      <c r="D17" s="15"/>
      <c r="E17" s="21"/>
    </row>
    <row r="19" spans="2:5" x14ac:dyDescent="0.25">
      <c r="D19" s="3" t="s">
        <v>5</v>
      </c>
    </row>
    <row r="20" spans="2:5" x14ac:dyDescent="0.25">
      <c r="B20" t="s">
        <v>79</v>
      </c>
      <c r="C20" s="6">
        <v>-1</v>
      </c>
      <c r="D20" s="13" t="s">
        <v>6</v>
      </c>
      <c r="E20" s="19"/>
    </row>
    <row r="21" spans="2:5" x14ac:dyDescent="0.25">
      <c r="B21" t="s">
        <v>79</v>
      </c>
      <c r="C21" s="4">
        <v>-1</v>
      </c>
      <c r="D21" s="14" t="s">
        <v>7</v>
      </c>
      <c r="E21" s="20"/>
    </row>
    <row r="22" spans="2:5" x14ac:dyDescent="0.25">
      <c r="B22" t="s">
        <v>79</v>
      </c>
      <c r="C22" s="4">
        <v>-0.5</v>
      </c>
      <c r="D22" s="14" t="s">
        <v>70</v>
      </c>
      <c r="E22" s="20"/>
    </row>
    <row r="23" spans="2:5" x14ac:dyDescent="0.25">
      <c r="B23" t="s">
        <v>79</v>
      </c>
      <c r="C23" s="4">
        <v>-1</v>
      </c>
      <c r="D23" s="14" t="s">
        <v>8</v>
      </c>
      <c r="E23" s="20"/>
    </row>
    <row r="24" spans="2:5" x14ac:dyDescent="0.25">
      <c r="B24" t="s">
        <v>79</v>
      </c>
      <c r="C24" s="4">
        <v>-0.5</v>
      </c>
      <c r="D24" s="14" t="s">
        <v>9</v>
      </c>
      <c r="E24" s="20"/>
    </row>
    <row r="25" spans="2:5" x14ac:dyDescent="0.25">
      <c r="B25" t="s">
        <v>79</v>
      </c>
      <c r="C25" s="4">
        <v>-0.5</v>
      </c>
      <c r="D25" s="14" t="s">
        <v>10</v>
      </c>
      <c r="E25" s="20"/>
    </row>
    <row r="26" spans="2:5" x14ac:dyDescent="0.25">
      <c r="B26" t="s">
        <v>79</v>
      </c>
      <c r="C26" s="4">
        <v>-0.5</v>
      </c>
      <c r="D26" s="14" t="s">
        <v>11</v>
      </c>
      <c r="E26" s="20"/>
    </row>
    <row r="27" spans="2:5" x14ac:dyDescent="0.25">
      <c r="B27" t="s">
        <v>79</v>
      </c>
      <c r="C27" s="4">
        <v>-1</v>
      </c>
      <c r="D27" s="14" t="s">
        <v>57</v>
      </c>
      <c r="E27" s="20"/>
    </row>
    <row r="28" spans="2:5" x14ac:dyDescent="0.25">
      <c r="B28" t="s">
        <v>79</v>
      </c>
      <c r="C28" s="4">
        <v>-1</v>
      </c>
      <c r="D28" s="14" t="s">
        <v>12</v>
      </c>
      <c r="E28" s="20"/>
    </row>
    <row r="29" spans="2:5" x14ac:dyDescent="0.25">
      <c r="B29" t="s">
        <v>79</v>
      </c>
      <c r="C29" s="4">
        <v>-1</v>
      </c>
      <c r="D29" s="14" t="s">
        <v>68</v>
      </c>
      <c r="E29" s="42"/>
    </row>
    <row r="30" spans="2:5" x14ac:dyDescent="0.25">
      <c r="B30" t="s">
        <v>79</v>
      </c>
      <c r="C30" s="5"/>
      <c r="D30" s="15"/>
      <c r="E30" s="21"/>
    </row>
    <row r="32" spans="2:5" x14ac:dyDescent="0.25">
      <c r="D32" s="3" t="s">
        <v>13</v>
      </c>
    </row>
    <row r="33" spans="2:5" x14ac:dyDescent="0.25">
      <c r="B33" t="s">
        <v>80</v>
      </c>
      <c r="C33" s="6">
        <v>-2</v>
      </c>
      <c r="D33" s="13" t="s">
        <v>71</v>
      </c>
      <c r="E33" s="19"/>
    </row>
    <row r="34" spans="2:5" x14ac:dyDescent="0.25">
      <c r="B34" t="s">
        <v>80</v>
      </c>
      <c r="C34" s="4">
        <v>-2</v>
      </c>
      <c r="D34" s="14" t="s">
        <v>58</v>
      </c>
      <c r="E34" s="20"/>
    </row>
    <row r="35" spans="2:5" x14ac:dyDescent="0.25">
      <c r="B35" t="s">
        <v>80</v>
      </c>
      <c r="C35" s="4">
        <v>-2</v>
      </c>
      <c r="D35" s="14" t="s">
        <v>14</v>
      </c>
      <c r="E35" s="20"/>
    </row>
    <row r="36" spans="2:5" x14ac:dyDescent="0.25">
      <c r="B36" t="s">
        <v>80</v>
      </c>
      <c r="C36" s="4">
        <v>-2</v>
      </c>
      <c r="D36" s="14" t="s">
        <v>15</v>
      </c>
      <c r="E36" s="20"/>
    </row>
    <row r="37" spans="2:5" x14ac:dyDescent="0.25">
      <c r="B37" t="s">
        <v>80</v>
      </c>
      <c r="C37" s="4">
        <v>-1</v>
      </c>
      <c r="D37" s="14" t="s">
        <v>16</v>
      </c>
      <c r="E37" s="20"/>
    </row>
    <row r="38" spans="2:5" x14ac:dyDescent="0.25">
      <c r="B38" t="s">
        <v>80</v>
      </c>
      <c r="C38" s="4">
        <v>-1</v>
      </c>
      <c r="D38" s="14" t="s">
        <v>17</v>
      </c>
      <c r="E38" s="42"/>
    </row>
    <row r="39" spans="2:5" x14ac:dyDescent="0.25">
      <c r="B39" t="s">
        <v>80</v>
      </c>
      <c r="C39" s="5"/>
      <c r="D39" s="15"/>
      <c r="E39" s="21"/>
    </row>
    <row r="41" spans="2:5" x14ac:dyDescent="0.25">
      <c r="D41" s="3" t="s">
        <v>18</v>
      </c>
    </row>
    <row r="42" spans="2:5" x14ac:dyDescent="0.25">
      <c r="B42" t="s">
        <v>81</v>
      </c>
      <c r="C42" s="6">
        <v>-1</v>
      </c>
      <c r="D42" s="32" t="s">
        <v>19</v>
      </c>
      <c r="E42" s="19"/>
    </row>
    <row r="43" spans="2:5" x14ac:dyDescent="0.25">
      <c r="B43" t="s">
        <v>81</v>
      </c>
      <c r="C43" s="4">
        <v>-4</v>
      </c>
      <c r="D43" s="14" t="s">
        <v>59</v>
      </c>
      <c r="E43" s="20"/>
    </row>
    <row r="44" spans="2:5" x14ac:dyDescent="0.25">
      <c r="B44" t="s">
        <v>81</v>
      </c>
      <c r="C44" s="4">
        <v>-1</v>
      </c>
      <c r="D44" s="14" t="s">
        <v>60</v>
      </c>
      <c r="E44" s="20"/>
    </row>
    <row r="45" spans="2:5" x14ac:dyDescent="0.25">
      <c r="B45" t="s">
        <v>81</v>
      </c>
      <c r="C45" s="4">
        <v>-1</v>
      </c>
      <c r="D45" s="14" t="s">
        <v>20</v>
      </c>
      <c r="E45" s="20"/>
    </row>
    <row r="46" spans="2:5" x14ac:dyDescent="0.25">
      <c r="B46" t="s">
        <v>81</v>
      </c>
      <c r="C46" s="4">
        <v>-0.5</v>
      </c>
      <c r="D46" s="14" t="s">
        <v>72</v>
      </c>
      <c r="E46" s="20"/>
    </row>
    <row r="47" spans="2:5" x14ac:dyDescent="0.25">
      <c r="B47" t="s">
        <v>81</v>
      </c>
      <c r="C47" s="4">
        <v>-0.5</v>
      </c>
      <c r="D47" s="14" t="s">
        <v>21</v>
      </c>
      <c r="E47" s="20"/>
    </row>
    <row r="48" spans="2:5" x14ac:dyDescent="0.25">
      <c r="B48" t="s">
        <v>81</v>
      </c>
      <c r="C48" s="4">
        <v>-1</v>
      </c>
      <c r="D48" s="14" t="s">
        <v>73</v>
      </c>
      <c r="E48" s="42"/>
    </row>
    <row r="49" spans="2:6" x14ac:dyDescent="0.25">
      <c r="B49" t="s">
        <v>81</v>
      </c>
      <c r="C49" s="5"/>
      <c r="D49" s="15"/>
      <c r="E49" s="21"/>
    </row>
    <row r="51" spans="2:6" x14ac:dyDescent="0.25">
      <c r="D51" s="12" t="s">
        <v>22</v>
      </c>
    </row>
    <row r="52" spans="2:6" x14ac:dyDescent="0.25">
      <c r="B52" t="s">
        <v>82</v>
      </c>
      <c r="C52" s="6">
        <v>-1</v>
      </c>
      <c r="D52" s="13" t="s">
        <v>23</v>
      </c>
      <c r="E52" s="19"/>
    </row>
    <row r="53" spans="2:6" x14ac:dyDescent="0.25">
      <c r="B53" t="s">
        <v>82</v>
      </c>
      <c r="C53" s="4">
        <v>-2</v>
      </c>
      <c r="D53" s="14" t="s">
        <v>24</v>
      </c>
      <c r="E53" s="26"/>
    </row>
    <row r="54" spans="2:6" x14ac:dyDescent="0.25">
      <c r="B54" t="s">
        <v>82</v>
      </c>
      <c r="C54" s="4">
        <v>-1</v>
      </c>
      <c r="D54" s="14" t="s">
        <v>25</v>
      </c>
      <c r="E54" s="20"/>
    </row>
    <row r="55" spans="2:6" x14ac:dyDescent="0.25">
      <c r="B55" t="s">
        <v>82</v>
      </c>
      <c r="C55" s="4">
        <v>-1</v>
      </c>
      <c r="D55" s="14" t="s">
        <v>26</v>
      </c>
      <c r="E55" s="20"/>
      <c r="F55" s="35"/>
    </row>
    <row r="56" spans="2:6" x14ac:dyDescent="0.25">
      <c r="B56" t="s">
        <v>82</v>
      </c>
      <c r="C56" s="4">
        <v>-0.5</v>
      </c>
      <c r="D56" s="14" t="s">
        <v>61</v>
      </c>
      <c r="E56" s="20"/>
    </row>
    <row r="57" spans="2:6" x14ac:dyDescent="0.25">
      <c r="B57" t="s">
        <v>82</v>
      </c>
      <c r="C57" s="4">
        <v>-1</v>
      </c>
      <c r="D57" s="14" t="s">
        <v>27</v>
      </c>
      <c r="E57" s="20"/>
    </row>
    <row r="58" spans="2:6" x14ac:dyDescent="0.25">
      <c r="B58" t="s">
        <v>82</v>
      </c>
      <c r="C58" s="4">
        <v>-1</v>
      </c>
      <c r="D58" s="14" t="s">
        <v>28</v>
      </c>
      <c r="E58" s="20"/>
    </row>
    <row r="59" spans="2:6" x14ac:dyDescent="0.25">
      <c r="B59" t="s">
        <v>82</v>
      </c>
      <c r="C59" s="4">
        <v>-1</v>
      </c>
      <c r="D59" s="14" t="s">
        <v>29</v>
      </c>
      <c r="E59" s="20"/>
    </row>
    <row r="60" spans="2:6" x14ac:dyDescent="0.25">
      <c r="B60" t="s">
        <v>82</v>
      </c>
      <c r="C60" s="4">
        <v>-0.5</v>
      </c>
      <c r="D60" s="14" t="s">
        <v>30</v>
      </c>
      <c r="E60" s="20"/>
    </row>
    <row r="61" spans="2:6" x14ac:dyDescent="0.25">
      <c r="B61" t="s">
        <v>82</v>
      </c>
      <c r="C61" s="4">
        <v>-1</v>
      </c>
      <c r="D61" s="14" t="s">
        <v>69</v>
      </c>
      <c r="E61" s="42"/>
    </row>
    <row r="62" spans="2:6" x14ac:dyDescent="0.25">
      <c r="B62" t="s">
        <v>82</v>
      </c>
      <c r="C62" s="5"/>
      <c r="D62" s="15"/>
      <c r="E62" s="21"/>
    </row>
    <row r="64" spans="2:6" x14ac:dyDescent="0.25">
      <c r="D64" s="12" t="s">
        <v>31</v>
      </c>
    </row>
    <row r="65" spans="2:5" x14ac:dyDescent="0.25">
      <c r="B65" t="s">
        <v>83</v>
      </c>
      <c r="C65" s="6">
        <v>-2</v>
      </c>
      <c r="D65" s="13" t="s">
        <v>32</v>
      </c>
      <c r="E65" s="19"/>
    </row>
    <row r="66" spans="2:5" x14ac:dyDescent="0.25">
      <c r="B66" t="s">
        <v>83</v>
      </c>
      <c r="C66" s="4">
        <v>-0.5</v>
      </c>
      <c r="D66" s="14" t="s">
        <v>33</v>
      </c>
      <c r="E66" s="20"/>
    </row>
    <row r="67" spans="2:5" x14ac:dyDescent="0.25">
      <c r="B67" t="s">
        <v>83</v>
      </c>
      <c r="C67" s="4">
        <v>-1</v>
      </c>
      <c r="D67" s="14" t="s">
        <v>74</v>
      </c>
      <c r="E67" s="42"/>
    </row>
    <row r="68" spans="2:5" x14ac:dyDescent="0.25">
      <c r="B68" t="s">
        <v>83</v>
      </c>
      <c r="C68" s="4">
        <v>-1</v>
      </c>
      <c r="D68" s="14" t="s">
        <v>34</v>
      </c>
      <c r="E68" s="42"/>
    </row>
    <row r="69" spans="2:5" x14ac:dyDescent="0.25">
      <c r="B69" t="s">
        <v>83</v>
      </c>
      <c r="C69" s="5"/>
      <c r="D69" s="15"/>
      <c r="E69" s="21"/>
    </row>
    <row r="71" spans="2:5" x14ac:dyDescent="0.25">
      <c r="D71" s="12" t="s">
        <v>35</v>
      </c>
    </row>
    <row r="72" spans="2:5" x14ac:dyDescent="0.25">
      <c r="B72" t="s">
        <v>84</v>
      </c>
      <c r="C72" s="6">
        <v>-1</v>
      </c>
      <c r="D72" s="22" t="s">
        <v>62</v>
      </c>
      <c r="E72" s="16"/>
    </row>
    <row r="73" spans="2:5" x14ac:dyDescent="0.25">
      <c r="B73" t="s">
        <v>84</v>
      </c>
      <c r="C73" s="4">
        <v>-1</v>
      </c>
      <c r="D73" t="s">
        <v>36</v>
      </c>
      <c r="E73" s="20"/>
    </row>
    <row r="74" spans="2:5" x14ac:dyDescent="0.25">
      <c r="B74" t="s">
        <v>84</v>
      </c>
      <c r="C74" s="4">
        <v>-1</v>
      </c>
      <c r="D74" t="s">
        <v>37</v>
      </c>
      <c r="E74" s="20"/>
    </row>
    <row r="75" spans="2:5" x14ac:dyDescent="0.25">
      <c r="B75" t="s">
        <v>84</v>
      </c>
      <c r="C75" s="4">
        <v>-1</v>
      </c>
      <c r="D75" t="s">
        <v>38</v>
      </c>
      <c r="E75" s="20"/>
    </row>
    <row r="76" spans="2:5" x14ac:dyDescent="0.25">
      <c r="B76" t="s">
        <v>84</v>
      </c>
      <c r="C76" s="4">
        <v>-1</v>
      </c>
      <c r="D76" t="s">
        <v>39</v>
      </c>
      <c r="E76" s="20"/>
    </row>
    <row r="77" spans="2:5" x14ac:dyDescent="0.25">
      <c r="B77" t="s">
        <v>84</v>
      </c>
      <c r="C77" s="4">
        <v>-1</v>
      </c>
      <c r="D77" t="s">
        <v>40</v>
      </c>
      <c r="E77" s="20"/>
    </row>
    <row r="78" spans="2:5" x14ac:dyDescent="0.25">
      <c r="B78" t="s">
        <v>84</v>
      </c>
      <c r="C78" s="4">
        <v>-1</v>
      </c>
      <c r="D78" t="s">
        <v>63</v>
      </c>
      <c r="E78" s="20"/>
    </row>
    <row r="79" spans="2:5" x14ac:dyDescent="0.25">
      <c r="B79" t="s">
        <v>84</v>
      </c>
      <c r="C79" s="4">
        <v>-1</v>
      </c>
      <c r="D79" s="34" t="s">
        <v>41</v>
      </c>
      <c r="E79" s="20"/>
    </row>
    <row r="80" spans="2:5" x14ac:dyDescent="0.25">
      <c r="B80" t="s">
        <v>84</v>
      </c>
      <c r="C80" s="4">
        <v>-1</v>
      </c>
      <c r="D80" s="34" t="s">
        <v>42</v>
      </c>
      <c r="E80" s="17"/>
    </row>
    <row r="81" spans="2:5" x14ac:dyDescent="0.25">
      <c r="B81" t="s">
        <v>84</v>
      </c>
      <c r="C81" s="4">
        <v>-1</v>
      </c>
      <c r="D81" s="34" t="s">
        <v>43</v>
      </c>
      <c r="E81" s="17"/>
    </row>
    <row r="82" spans="2:5" x14ac:dyDescent="0.25">
      <c r="B82" t="s">
        <v>84</v>
      </c>
      <c r="C82" s="4">
        <v>-1</v>
      </c>
      <c r="D82" s="34" t="s">
        <v>64</v>
      </c>
      <c r="E82" s="17"/>
    </row>
    <row r="83" spans="2:5" x14ac:dyDescent="0.25">
      <c r="B83" t="s">
        <v>84</v>
      </c>
      <c r="C83" s="4">
        <v>-1</v>
      </c>
      <c r="D83" s="34" t="s">
        <v>44</v>
      </c>
      <c r="E83" s="17"/>
    </row>
    <row r="84" spans="2:5" x14ac:dyDescent="0.25">
      <c r="B84" t="s">
        <v>84</v>
      </c>
      <c r="C84" s="4">
        <v>-1</v>
      </c>
      <c r="D84" s="34" t="s">
        <v>45</v>
      </c>
      <c r="E84" s="17"/>
    </row>
    <row r="85" spans="2:5" x14ac:dyDescent="0.25">
      <c r="B85" t="s">
        <v>84</v>
      </c>
      <c r="C85" s="5"/>
      <c r="D85" s="23"/>
      <c r="E85" s="18"/>
    </row>
    <row r="87" spans="2:5" x14ac:dyDescent="0.25">
      <c r="D87" s="12" t="s">
        <v>46</v>
      </c>
    </row>
    <row r="88" spans="2:5" x14ac:dyDescent="0.25">
      <c r="B88" t="s">
        <v>85</v>
      </c>
      <c r="C88" s="6">
        <v>-1</v>
      </c>
      <c r="D88" s="13" t="s">
        <v>47</v>
      </c>
      <c r="E88" s="19"/>
    </row>
    <row r="89" spans="2:5" x14ac:dyDescent="0.25">
      <c r="B89" t="s">
        <v>85</v>
      </c>
      <c r="C89" s="4">
        <v>-1</v>
      </c>
      <c r="D89" s="14" t="s">
        <v>48</v>
      </c>
      <c r="E89" s="20"/>
    </row>
    <row r="90" spans="2:5" x14ac:dyDescent="0.25">
      <c r="B90" t="s">
        <v>85</v>
      </c>
      <c r="C90" s="5"/>
      <c r="D90" s="15"/>
      <c r="E90" s="21"/>
    </row>
    <row r="92" spans="2:5" x14ac:dyDescent="0.25">
      <c r="D92" s="12" t="s">
        <v>49</v>
      </c>
    </row>
    <row r="93" spans="2:5" x14ac:dyDescent="0.25">
      <c r="B93" t="s">
        <v>86</v>
      </c>
      <c r="C93" s="6">
        <v>-3</v>
      </c>
      <c r="D93" s="13" t="s">
        <v>65</v>
      </c>
      <c r="E93" s="19"/>
    </row>
    <row r="94" spans="2:5" x14ac:dyDescent="0.25">
      <c r="B94" t="s">
        <v>86</v>
      </c>
      <c r="C94" s="4">
        <v>-1</v>
      </c>
      <c r="D94" s="14" t="s">
        <v>50</v>
      </c>
      <c r="E94" s="20"/>
    </row>
    <row r="95" spans="2:5" x14ac:dyDescent="0.25">
      <c r="B95" t="s">
        <v>86</v>
      </c>
      <c r="C95" s="4">
        <v>-1</v>
      </c>
      <c r="D95" s="14" t="s">
        <v>75</v>
      </c>
      <c r="E95" s="42"/>
    </row>
    <row r="96" spans="2:5" x14ac:dyDescent="0.25">
      <c r="B96" t="s">
        <v>86</v>
      </c>
      <c r="C96" s="5"/>
      <c r="D96" s="33"/>
      <c r="E96" s="21"/>
    </row>
  </sheetData>
  <sheetProtection selectLockedCells="1" selectUnlockedCells="1"/>
  <conditionalFormatting sqref="C16:C9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whole" operator="equal" allowBlank="1" showInputMessage="1" showErrorMessage="1" errorTitle="Solo uno o nada" error="Sol se admite el valor 1 o nada" promptTitle="Un 1" prompt="Inserta un 1 si este criterio es de aplicación a tu entrega" sqref="E93:E96 E88:E90 E3:E6 E52:E62 E9:E13 E16:E17 E72:E85 E20:E30 E33:E39 E65:E69 E42:E49" xr:uid="{00000000-0002-0000-0000-000000000000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5"/>
  <sheetViews>
    <sheetView zoomScale="130" zoomScaleNormal="130" workbookViewId="0">
      <selection activeCell="H14" sqref="H14"/>
    </sheetView>
  </sheetViews>
  <sheetFormatPr baseColWidth="10" defaultColWidth="11.44140625" defaultRowHeight="13.2" x14ac:dyDescent="0.25"/>
  <cols>
    <col min="1" max="1" width="11.109375" customWidth="1"/>
    <col min="2" max="2" width="5" customWidth="1"/>
    <col min="3" max="3" width="14" bestFit="1" customWidth="1"/>
    <col min="4" max="4" width="12.5546875" bestFit="1" customWidth="1"/>
    <col min="5" max="5" width="12.6640625" hidden="1" customWidth="1"/>
    <col min="6" max="6" width="3.88671875" customWidth="1"/>
    <col min="7" max="7" width="15.33203125" bestFit="1" customWidth="1"/>
    <col min="8" max="8" width="4.6640625" customWidth="1"/>
  </cols>
  <sheetData>
    <row r="2" spans="2:8" x14ac:dyDescent="0.25">
      <c r="C2" s="1" t="s">
        <v>87</v>
      </c>
      <c r="D2">
        <v>10</v>
      </c>
    </row>
    <row r="3" spans="2:8" x14ac:dyDescent="0.25">
      <c r="C3" s="1"/>
    </row>
    <row r="4" spans="2:8" x14ac:dyDescent="0.25">
      <c r="C4" s="1" t="s">
        <v>88</v>
      </c>
      <c r="D4" t="str">
        <f>IF(E4, "are met", "DO NOT MET")</f>
        <v>are met</v>
      </c>
      <c r="E4" t="b">
        <f>SUMPRODUCT((checklist!$B$2:$B$96=C4)*checklist!$E$2:$E$96)=4</f>
        <v>1</v>
      </c>
      <c r="G4" s="11" t="s">
        <v>89</v>
      </c>
      <c r="H4" s="10">
        <f>IF(E4,D2+SUM(D6:D15),0)</f>
        <v>12.25</v>
      </c>
    </row>
    <row r="5" spans="2:8" x14ac:dyDescent="0.25">
      <c r="C5" s="1"/>
    </row>
    <row r="6" spans="2:8" x14ac:dyDescent="0.25">
      <c r="B6" s="44" t="s">
        <v>90</v>
      </c>
      <c r="C6" s="1" t="s">
        <v>91</v>
      </c>
      <c r="D6">
        <f>SUMPRODUCT((checklist!$B$2:$B$96=C6)*checklist!$C$2:$C$96*checklist!$E$2:$E$96)</f>
        <v>2.25</v>
      </c>
    </row>
    <row r="7" spans="2:8" x14ac:dyDescent="0.25">
      <c r="B7" s="45"/>
      <c r="C7" s="1" t="s">
        <v>92</v>
      </c>
      <c r="D7">
        <f>SUMPRODUCT((checklist!$B$2:$B$96=C7)*checklist!$C$2:$C$96*checklist!$E$2:$E$96)</f>
        <v>0</v>
      </c>
    </row>
    <row r="8" spans="2:8" x14ac:dyDescent="0.25">
      <c r="B8" s="45"/>
      <c r="C8" s="1" t="s">
        <v>93</v>
      </c>
      <c r="D8">
        <f>SUMPRODUCT((checklist!$B$2:$B$96=C8)*checklist!$C$2:$C$96*checklist!$E$2:$E$96)</f>
        <v>0</v>
      </c>
    </row>
    <row r="9" spans="2:8" x14ac:dyDescent="0.25">
      <c r="B9" s="45"/>
      <c r="C9" s="1" t="s">
        <v>94</v>
      </c>
      <c r="D9">
        <f>SUMPRODUCT((checklist!$B$2:$B$96=C9)*checklist!$C$2:$C$96*checklist!$E$2:$E$96)</f>
        <v>0</v>
      </c>
    </row>
    <row r="10" spans="2:8" x14ac:dyDescent="0.25">
      <c r="B10" s="45"/>
      <c r="C10" s="1" t="s">
        <v>95</v>
      </c>
      <c r="D10">
        <f>SUMPRODUCT((checklist!$B$2:$B$96=C10)*checklist!$C$2:$C$96*checklist!$E$2:$E$96)</f>
        <v>0</v>
      </c>
    </row>
    <row r="11" spans="2:8" x14ac:dyDescent="0.25">
      <c r="B11" s="45"/>
      <c r="C11" s="1" t="s">
        <v>96</v>
      </c>
      <c r="D11">
        <f>SUMPRODUCT((checklist!$B$2:$B$96=C11)*checklist!$C$2:$C$96*checklist!$E$2:$E$96)</f>
        <v>0</v>
      </c>
    </row>
    <row r="12" spans="2:8" x14ac:dyDescent="0.25">
      <c r="B12" s="45"/>
      <c r="C12" s="1" t="s">
        <v>97</v>
      </c>
      <c r="D12">
        <f>SUMPRODUCT((checklist!$B$2:$B$96=C12)*checklist!$C$2:$C$96*checklist!$E$2:$E$96)</f>
        <v>0</v>
      </c>
    </row>
    <row r="13" spans="2:8" x14ac:dyDescent="0.25">
      <c r="B13" s="45"/>
      <c r="C13" s="1" t="s">
        <v>98</v>
      </c>
      <c r="D13">
        <f>SUMPRODUCT((checklist!$B$2:$B$96=C13)*checklist!$C$2:$C$96*checklist!$E$2:$E$96)</f>
        <v>0</v>
      </c>
    </row>
    <row r="14" spans="2:8" x14ac:dyDescent="0.25">
      <c r="B14" s="45"/>
      <c r="C14" s="1" t="s">
        <v>99</v>
      </c>
      <c r="D14">
        <f>SUMPRODUCT((checklist!$B$2:$B$96=C14)*checklist!$C$2:$C$96*checklist!$E$2:$E$96)</f>
        <v>0</v>
      </c>
    </row>
    <row r="15" spans="2:8" x14ac:dyDescent="0.25">
      <c r="B15" s="45"/>
      <c r="C15" s="1" t="s">
        <v>100</v>
      </c>
      <c r="D15">
        <f>SUMPRODUCT((checklist!$B$2:$B$96=C15)*checklist!$C$2:$C$96*checklist!$E$2:$E$96)</f>
        <v>0</v>
      </c>
    </row>
  </sheetData>
  <mergeCells count="1">
    <mergeCell ref="B6:B15"/>
  </mergeCells>
  <conditionalFormatting sqref="D4">
    <cfRule type="expression" dxfId="1" priority="1">
      <formula>E3=TRUE</formula>
    </cfRule>
    <cfRule type="expression" dxfId="0" priority="2">
      <formula>NOT(E3)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07b11d4-d094-4088-9e3c-11e868bc0f34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99AA091758784BA2CE28FDC28C93B1" ma:contentTypeVersion="20" ma:contentTypeDescription="Crear nuevo documento." ma:contentTypeScope="" ma:versionID="0d3e0e7922b8890ce21f5fa260c9425f">
  <xsd:schema xmlns:xsd="http://www.w3.org/2001/XMLSchema" xmlns:xs="http://www.w3.org/2001/XMLSchema" xmlns:p="http://schemas.microsoft.com/office/2006/metadata/properties" xmlns:ns1="http://schemas.microsoft.com/sharepoint/v3" xmlns:ns3="a71e0491-e4b6-4e36-bd0e-730821cf6cd8" xmlns:ns4="207b11d4-d094-4088-9e3c-11e868bc0f34" targetNamespace="http://schemas.microsoft.com/office/2006/metadata/properties" ma:root="true" ma:fieldsID="ba6a9232c54bf5bf1b8e910853e8ae97" ns1:_="" ns3:_="" ns4:_="">
    <xsd:import namespace="http://schemas.microsoft.com/sharepoint/v3"/>
    <xsd:import namespace="a71e0491-e4b6-4e36-bd0e-730821cf6cd8"/>
    <xsd:import namespace="207b11d4-d094-4088-9e3c-11e868bc0f3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e0491-e4b6-4e36-bd0e-730821cf6c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b11d4-d094-4088-9e3c-11e868bc0f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3375B6-30BD-447B-99E4-F6892BC797EF}">
  <ds:schemaRefs>
    <ds:schemaRef ds:uri="http://www.w3.org/XML/1998/namespace"/>
    <ds:schemaRef ds:uri="207b11d4-d094-4088-9e3c-11e868bc0f34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a71e0491-e4b6-4e36-bd0e-730821cf6cd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4B0E128-761B-4241-BCB4-9BDC0C7882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71e0491-e4b6-4e36-bd0e-730821cf6cd8"/>
    <ds:schemaRef ds:uri="207b11d4-d094-4088-9e3c-11e868bc0f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FEE99B-0282-4B46-8FF0-8531FCA14A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nota</vt:lpstr>
    </vt:vector>
  </TitlesOfParts>
  <Manager/>
  <Company>Universidad de Oviedo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B. Cristina Pelayo García-Bustelo</dc:creator>
  <cp:keywords/>
  <dc:description/>
  <cp:lastModifiedBy>Adrián Gutiérrez García</cp:lastModifiedBy>
  <cp:revision/>
  <dcterms:created xsi:type="dcterms:W3CDTF">2007-10-29T06:48:17Z</dcterms:created>
  <dcterms:modified xsi:type="dcterms:W3CDTF">2025-11-18T15:34:19Z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9ba46637-e9d2-4712-a8e3-9350d961b8b6</vt:lpwstr>
  </property>
  <property fmtid="{D5CDD505-2E9C-101B-9397-08002B2CF9AE}" pid="3" name="ContentTypeId">
    <vt:lpwstr>0x0101001399AA091758784BA2CE28FDC28C93B1</vt:lpwstr>
  </property>
</Properties>
</file>